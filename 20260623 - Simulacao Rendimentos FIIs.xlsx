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 (Backup Luiz 2022)\Pessoal\Treinamentos\Santander Excel e Claude IA\"/>
    </mc:Choice>
  </mc:AlternateContent>
  <xr:revisionPtr revIDLastSave="0" documentId="13_ncr:1_{B357E9EF-F004-4B5F-8648-7F27E48D241C}" xr6:coauthVersionLast="47" xr6:coauthVersionMax="47" xr10:uidLastSave="{00000000-0000-0000-0000-000000000000}"/>
  <bookViews>
    <workbookView xWindow="-110" yWindow="-110" windowWidth="19420" windowHeight="10300" xr2:uid="{9D233533-3934-492B-949D-30D30D735FB0}"/>
  </bookViews>
  <sheets>
    <sheet name="Planilha1" sheetId="1" r:id="rId1"/>
  </sheets>
  <definedNames>
    <definedName name="rendimento_carteira">Planilha1!$D$9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 s="1"/>
  <c r="G7" i="1"/>
  <c r="G6" i="1"/>
  <c r="G5" i="1"/>
  <c r="G4" i="1"/>
  <c r="H4" i="1" s="1"/>
  <c r="H7" i="1"/>
  <c r="C16" i="1"/>
  <c r="C15" i="1"/>
  <c r="C17" i="1"/>
  <c r="C27" i="1" s="1"/>
  <c r="D8" i="1"/>
  <c r="D7" i="1"/>
  <c r="D6" i="1"/>
  <c r="D5" i="1"/>
  <c r="D4" i="1"/>
  <c r="H6" i="1"/>
  <c r="H5" i="1"/>
  <c r="C18" i="1" l="1"/>
  <c r="C19" i="1" s="1"/>
  <c r="G9" i="1"/>
  <c r="C24" i="1"/>
  <c r="D24" i="1" s="1"/>
  <c r="E24" i="1" s="1"/>
  <c r="C23" i="1"/>
  <c r="D23" i="1" s="1"/>
  <c r="E23" i="1" s="1"/>
  <c r="C25" i="1"/>
  <c r="D25" i="1" s="1"/>
  <c r="E25" i="1" s="1"/>
  <c r="D27" i="1"/>
  <c r="E27" i="1" s="1"/>
  <c r="C26" i="1"/>
  <c r="D26" i="1" s="1"/>
  <c r="E26" i="1" s="1"/>
  <c r="C20" i="1"/>
</calcChain>
</file>

<file path=xl/sharedStrings.xml><?xml version="1.0" encoding="utf-8"?>
<sst xmlns="http://schemas.openxmlformats.org/spreadsheetml/2006/main" count="31" uniqueCount="30">
  <si>
    <t>HGLG</t>
  </si>
  <si>
    <t>KNCR</t>
  </si>
  <si>
    <t>BBRC</t>
  </si>
  <si>
    <t>XPML</t>
  </si>
  <si>
    <t>DAYM</t>
  </si>
  <si>
    <t>% aa</t>
  </si>
  <si>
    <t>proventos</t>
  </si>
  <si>
    <t>custo</t>
  </si>
  <si>
    <t>posicao</t>
  </si>
  <si>
    <t>cota</t>
  </si>
  <si>
    <t>CONFIGURAÇÕES</t>
  </si>
  <si>
    <t>% am</t>
  </si>
  <si>
    <t>Rendimento Mensal</t>
  </si>
  <si>
    <t>Valor Mensal Investido</t>
  </si>
  <si>
    <t>FII Escolhido</t>
  </si>
  <si>
    <t>Posição Atual</t>
  </si>
  <si>
    <t>Aquisição de Cotas</t>
  </si>
  <si>
    <t>Novo Rendimento</t>
  </si>
  <si>
    <t>Rendimento</t>
  </si>
  <si>
    <t>Nova Posição (Cota)</t>
  </si>
  <si>
    <t>Nova Posição (Total)</t>
  </si>
  <si>
    <t xml:space="preserve"> Cenários</t>
  </si>
  <si>
    <t>Quanto em 2 Anos ?</t>
  </si>
  <si>
    <t>Quanto em 5 Anos ?</t>
  </si>
  <si>
    <t>Quanto em 10 Anos ?</t>
  </si>
  <si>
    <t>Quanto em 20 Anos ?</t>
  </si>
  <si>
    <t>Quanto em 30 Anos ?</t>
  </si>
  <si>
    <t>Valor Futuro Acumulado</t>
  </si>
  <si>
    <t>Valor Total Acumulado FII</t>
  </si>
  <si>
    <t>Base de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</si>
</sst>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b/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2" applyNumberFormat="1" applyFont="1"/>
    <xf numFmtId="1" fontId="0" fillId="0" borderId="0" xfId="0" applyNumberFormat="1"/>
    <xf numFmtId="0" fontId="0" fillId="0" borderId="0" xfId="0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indent="3"/>
    </xf>
    <xf numFmtId="0" fontId="4" fillId="5" borderId="4" xfId="0" applyFont="1" applyFill="1" applyBorder="1" applyAlignment="1">
      <alignment horizontal="left" indent="3"/>
    </xf>
    <xf numFmtId="165" fontId="5" fillId="5" borderId="5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left" indent="3"/>
    </xf>
    <xf numFmtId="165" fontId="5" fillId="5" borderId="8" xfId="0" applyNumberFormat="1" applyFont="1" applyFill="1" applyBorder="1" applyAlignment="1">
      <alignment horizontal="center"/>
    </xf>
    <xf numFmtId="0" fontId="2" fillId="0" borderId="0" xfId="0" applyFont="1"/>
    <xf numFmtId="0" fontId="6" fillId="4" borderId="1" xfId="0" applyFont="1" applyFill="1" applyBorder="1" applyAlignment="1">
      <alignment vertical="center"/>
    </xf>
    <xf numFmtId="165" fontId="8" fillId="5" borderId="6" xfId="0" applyNumberFormat="1" applyFont="1" applyFill="1" applyBorder="1" applyAlignment="1">
      <alignment horizontal="center"/>
    </xf>
    <xf numFmtId="165" fontId="8" fillId="5" borderId="9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4" fillId="3" borderId="12" xfId="0" applyFont="1" applyFill="1" applyBorder="1"/>
    <xf numFmtId="165" fontId="5" fillId="0" borderId="13" xfId="1" applyNumberFormat="1" applyFont="1" applyBorder="1" applyAlignment="1">
      <alignment horizontal="center" vertical="center"/>
    </xf>
    <xf numFmtId="0" fontId="4" fillId="3" borderId="14" xfId="0" applyFont="1" applyFill="1" applyBorder="1"/>
    <xf numFmtId="0" fontId="0" fillId="0" borderId="15" xfId="0" applyBorder="1" applyAlignment="1">
      <alignment horizontal="center" vertical="center"/>
    </xf>
    <xf numFmtId="0" fontId="4" fillId="3" borderId="16" xfId="0" applyFont="1" applyFill="1" applyBorder="1" applyAlignment="1">
      <alignment horizontal="left" indent="1"/>
    </xf>
    <xf numFmtId="0" fontId="4" fillId="3" borderId="17" xfId="0" applyFont="1" applyFill="1" applyBorder="1" applyAlignment="1">
      <alignment horizontal="left" indent="1"/>
    </xf>
    <xf numFmtId="0" fontId="4" fillId="3" borderId="14" xfId="0" applyFont="1" applyFill="1" applyBorder="1" applyAlignment="1">
      <alignment horizontal="left" indent="1"/>
    </xf>
    <xf numFmtId="1" fontId="0" fillId="0" borderId="15" xfId="0" applyNumberFormat="1" applyBorder="1" applyAlignment="1">
      <alignment horizontal="center" vertical="center"/>
    </xf>
    <xf numFmtId="10" fontId="5" fillId="0" borderId="13" xfId="2" applyNumberFormat="1" applyFont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165" fontId="5" fillId="0" borderId="19" xfId="1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25400</xdr:rowOff>
    </xdr:from>
    <xdr:to>
      <xdr:col>7</xdr:col>
      <xdr:colOff>590550</xdr:colOff>
      <xdr:row>8</xdr:row>
      <xdr:rowOff>158750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9CD640C-9BC4-2276-15AA-73A05BB26191}"/>
            </a:ext>
          </a:extLst>
        </xdr:cNvPr>
        <xdr:cNvSpPr txBox="1"/>
      </xdr:nvSpPr>
      <xdr:spPr>
        <a:xfrm>
          <a:off x="628650" y="209550"/>
          <a:ext cx="9442450" cy="142240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000">
              <a:solidFill>
                <a:schemeClr val="bg1"/>
              </a:solidFill>
              <a:latin typeface="+mj-lt"/>
            </a:rPr>
            <a:t>SIMULAÇÃO RENDIMENTOS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54ED-013C-40DF-A26E-1879AD2A9F08}">
  <dimension ref="A3:H27"/>
  <sheetViews>
    <sheetView tabSelected="1" topLeftCell="A7" workbookViewId="0">
      <selection activeCell="D19" sqref="D19"/>
    </sheetView>
  </sheetViews>
  <sheetFormatPr defaultRowHeight="14.5" x14ac:dyDescent="0.35"/>
  <cols>
    <col min="2" max="2" width="32.08984375" bestFit="1" customWidth="1"/>
    <col min="3" max="3" width="25.54296875" bestFit="1" customWidth="1"/>
    <col min="4" max="4" width="27" bestFit="1" customWidth="1"/>
    <col min="5" max="5" width="21" bestFit="1" customWidth="1"/>
    <col min="6" max="6" width="12.6328125" bestFit="1" customWidth="1"/>
  </cols>
  <sheetData>
    <row r="3" spans="2:8" x14ac:dyDescent="0.35">
      <c r="B3" t="s">
        <v>29</v>
      </c>
      <c r="C3" t="s">
        <v>5</v>
      </c>
      <c r="D3" t="s">
        <v>11</v>
      </c>
      <c r="E3" t="s">
        <v>6</v>
      </c>
      <c r="F3" t="s">
        <v>7</v>
      </c>
      <c r="G3" t="s">
        <v>8</v>
      </c>
      <c r="H3" t="s">
        <v>9</v>
      </c>
    </row>
    <row r="4" spans="2:8" x14ac:dyDescent="0.35">
      <c r="B4" t="s">
        <v>0</v>
      </c>
      <c r="C4" s="1">
        <v>8.5000000000000006E-2</v>
      </c>
      <c r="D4" s="1">
        <f>C4/12</f>
        <v>7.0833333333333338E-3</v>
      </c>
      <c r="E4">
        <v>1.1000000000000001</v>
      </c>
      <c r="F4">
        <v>150.41</v>
      </c>
      <c r="G4">
        <f ca="1">RANDBETWEEN(1000,20000)</f>
        <v>7840</v>
      </c>
      <c r="H4" s="2">
        <f ca="1">G4/F4</f>
        <v>52.124193870088426</v>
      </c>
    </row>
    <row r="5" spans="2:8" x14ac:dyDescent="0.35">
      <c r="B5" t="s">
        <v>1</v>
      </c>
      <c r="C5" s="1">
        <v>0.13500000000000001</v>
      </c>
      <c r="D5" s="1">
        <f t="shared" ref="D5:D8" si="0">C5/12</f>
        <v>1.1250000000000001E-2</v>
      </c>
      <c r="E5">
        <v>1.1499999999999999</v>
      </c>
      <c r="F5">
        <v>107.11</v>
      </c>
      <c r="G5">
        <f t="shared" ref="G5:G8" ca="1" si="1">RANDBETWEEN(1000,20000)</f>
        <v>3018</v>
      </c>
      <c r="H5" s="2">
        <f t="shared" ref="H5:H8" ca="1" si="2">G5/F5</f>
        <v>28.176640836523202</v>
      </c>
    </row>
    <row r="6" spans="2:8" x14ac:dyDescent="0.35">
      <c r="B6" t="s">
        <v>2</v>
      </c>
      <c r="C6" s="1">
        <v>0.13100000000000001</v>
      </c>
      <c r="D6" s="1">
        <f t="shared" si="0"/>
        <v>1.0916666666666667E-2</v>
      </c>
      <c r="E6">
        <v>1.05</v>
      </c>
      <c r="F6">
        <v>103.99</v>
      </c>
      <c r="G6">
        <f t="shared" ca="1" si="1"/>
        <v>16801</v>
      </c>
      <c r="H6" s="2">
        <f t="shared" ca="1" si="2"/>
        <v>161.56361188575826</v>
      </c>
    </row>
    <row r="7" spans="2:8" x14ac:dyDescent="0.35">
      <c r="B7" t="s">
        <v>3</v>
      </c>
      <c r="C7" s="1">
        <v>0.106</v>
      </c>
      <c r="D7" s="1">
        <f t="shared" si="0"/>
        <v>8.8333333333333337E-3</v>
      </c>
      <c r="E7">
        <v>0.92</v>
      </c>
      <c r="F7">
        <v>103.69</v>
      </c>
      <c r="G7">
        <f t="shared" ca="1" si="1"/>
        <v>7821</v>
      </c>
      <c r="H7" s="2">
        <f t="shared" ca="1" si="2"/>
        <v>75.426752820908476</v>
      </c>
    </row>
    <row r="8" spans="2:8" x14ac:dyDescent="0.35">
      <c r="B8" t="s">
        <v>4</v>
      </c>
      <c r="C8" s="1">
        <v>9.2999999999999999E-2</v>
      </c>
      <c r="D8" s="1">
        <f t="shared" si="0"/>
        <v>7.7499999999999999E-3</v>
      </c>
      <c r="E8">
        <v>3.6999999999999998E-2</v>
      </c>
      <c r="F8">
        <v>4.1399999999999997</v>
      </c>
      <c r="G8">
        <f t="shared" ca="1" si="1"/>
        <v>1370</v>
      </c>
      <c r="H8" s="2">
        <f t="shared" ca="1" si="2"/>
        <v>330.91787439613529</v>
      </c>
    </row>
    <row r="9" spans="2:8" x14ac:dyDescent="0.35">
      <c r="G9">
        <f ca="1">SUM(G4:G8)</f>
        <v>36850</v>
      </c>
    </row>
    <row r="11" spans="2:8" ht="26" x14ac:dyDescent="0.35">
      <c r="B11" s="14" t="s">
        <v>10</v>
      </c>
      <c r="C11" s="15"/>
    </row>
    <row r="12" spans="2:8" ht="17.5" x14ac:dyDescent="0.45">
      <c r="B12" s="16" t="s">
        <v>13</v>
      </c>
      <c r="C12" s="17">
        <v>1000</v>
      </c>
    </row>
    <row r="13" spans="2:8" ht="17.5" x14ac:dyDescent="0.45">
      <c r="B13" s="18" t="s">
        <v>14</v>
      </c>
      <c r="C13" s="19" t="s">
        <v>1</v>
      </c>
    </row>
    <row r="14" spans="2:8" ht="6.5" customHeight="1" x14ac:dyDescent="0.35">
      <c r="C14" s="3"/>
    </row>
    <row r="15" spans="2:8" ht="17.5" x14ac:dyDescent="0.45">
      <c r="B15" s="20" t="s">
        <v>15</v>
      </c>
      <c r="C15" s="25">
        <f ca="1">VLOOKUP(C13,B4:H8,6,FALSE)</f>
        <v>3018</v>
      </c>
    </row>
    <row r="16" spans="2:8" ht="17.5" x14ac:dyDescent="0.45">
      <c r="B16" s="21" t="s">
        <v>16</v>
      </c>
      <c r="C16" s="23">
        <f>$C$12/VLOOKUP(C13,B4:H8,5,FALSE)</f>
        <v>9.3361964335729617</v>
      </c>
    </row>
    <row r="17" spans="1:5" ht="17.5" x14ac:dyDescent="0.45">
      <c r="B17" s="21" t="s">
        <v>18</v>
      </c>
      <c r="C17" s="24">
        <f>VLOOKUP(C13,B4:H8,3,FALSE)</f>
        <v>1.1250000000000001E-2</v>
      </c>
    </row>
    <row r="18" spans="1:5" ht="17.5" x14ac:dyDescent="0.45">
      <c r="B18" s="21" t="s">
        <v>19</v>
      </c>
      <c r="C18" s="23">
        <f ca="1">VLOOKUP(C13,B4:H8,7,FALSE)+$C$16</f>
        <v>37.512837270096163</v>
      </c>
    </row>
    <row r="19" spans="1:5" ht="17.5" x14ac:dyDescent="0.45">
      <c r="B19" s="21" t="s">
        <v>17</v>
      </c>
      <c r="C19" s="17">
        <f ca="1">VLOOKUP(C13,B4:H8,4,FALSE)*$C$18</f>
        <v>43.139762860610581</v>
      </c>
    </row>
    <row r="20" spans="1:5" ht="17.5" x14ac:dyDescent="0.45">
      <c r="B20" s="22" t="s">
        <v>20</v>
      </c>
      <c r="C20" s="26">
        <f ca="1">C15+C12+C19</f>
        <v>4061.1397628606105</v>
      </c>
    </row>
    <row r="21" spans="1:5" ht="15" thickBot="1" x14ac:dyDescent="0.4"/>
    <row r="22" spans="1:5" ht="29" x14ac:dyDescent="0.35">
      <c r="B22" s="11" t="s">
        <v>21</v>
      </c>
      <c r="C22" s="4" t="s">
        <v>27</v>
      </c>
      <c r="D22" s="4" t="s">
        <v>28</v>
      </c>
      <c r="E22" s="4" t="s">
        <v>12</v>
      </c>
    </row>
    <row r="23" spans="1:5" ht="17.5" x14ac:dyDescent="0.45">
      <c r="A23" s="10">
        <v>2</v>
      </c>
      <c r="B23" s="5" t="s">
        <v>22</v>
      </c>
      <c r="C23" s="7">
        <f>FV($C$17,$A23*12,$C$12*-1)</f>
        <v>27376.997902954015</v>
      </c>
      <c r="D23" s="7">
        <f ca="1">$C$15+C23</f>
        <v>30394.997902954015</v>
      </c>
      <c r="E23" s="12">
        <f ca="1">$D23/VLOOKUP($C$13,$B$4:$H$8,5,FALSE)*VLOOKUP($C$13,$B$4:$H$8,4,)</f>
        <v>326.33972167301943</v>
      </c>
    </row>
    <row r="24" spans="1:5" ht="17.5" x14ac:dyDescent="0.45">
      <c r="A24" s="10">
        <v>5</v>
      </c>
      <c r="B24" s="6" t="s">
        <v>23</v>
      </c>
      <c r="C24" s="7">
        <f>FV($C$17,$A24*12,$C$12*-1)</f>
        <v>85035.12703856884</v>
      </c>
      <c r="D24" s="7">
        <f ca="1">$C$15+C24</f>
        <v>88053.12703856884</v>
      </c>
      <c r="E24" s="12">
        <f ca="1">$D24/VLOOKUP($C$13,$B$4:$H$8,5,FALSE)*VLOOKUP($C$13,$B$4:$H$8,4,)</f>
        <v>945.39348421579825</v>
      </c>
    </row>
    <row r="25" spans="1:5" ht="17.5" x14ac:dyDescent="0.45">
      <c r="A25" s="10">
        <v>10</v>
      </c>
      <c r="B25" s="6" t="s">
        <v>24</v>
      </c>
      <c r="C25" s="7">
        <f>FV($C$17,$A25*12,$C$12*-1)</f>
        <v>251418.69841987503</v>
      </c>
      <c r="D25" s="7">
        <f ca="1">$C$15+C25</f>
        <v>254436.69841987503</v>
      </c>
      <c r="E25" s="12">
        <f ca="1">$D25/VLOOKUP($C$13,$B$4:$H$8,5,FALSE)*VLOOKUP($C$13,$B$4:$H$8,4,)</f>
        <v>2731.7916458113737</v>
      </c>
    </row>
    <row r="26" spans="1:5" ht="17.5" x14ac:dyDescent="0.45">
      <c r="A26" s="10">
        <v>20</v>
      </c>
      <c r="B26" s="6" t="s">
        <v>25</v>
      </c>
      <c r="C26" s="7">
        <f>FV($C$17,$A26*12,$C$12*-1)</f>
        <v>1213965.2183851206</v>
      </c>
      <c r="D26" s="7">
        <f ca="1">$C$15+C26</f>
        <v>1216983.2183851206</v>
      </c>
      <c r="E26" s="12">
        <f ca="1">$D26/VLOOKUP($C$13,$B$4:$H$8,5,FALSE)*VLOOKUP($C$13,$B$4:$H$8,4,)</f>
        <v>13066.293540686103</v>
      </c>
    </row>
    <row r="27" spans="1:5" ht="18" thickBot="1" x14ac:dyDescent="0.5">
      <c r="A27" s="10">
        <v>30</v>
      </c>
      <c r="B27" s="8" t="s">
        <v>26</v>
      </c>
      <c r="C27" s="9">
        <f>FV($C$17,$A27*12,$C$12*-1)</f>
        <v>4899036.4120555921</v>
      </c>
      <c r="D27" s="9">
        <f ca="1">$C$15+C27</f>
        <v>4902054.4120555921</v>
      </c>
      <c r="E27" s="13">
        <f ca="1">$D27/VLOOKUP($C$13,$B$4:$H$8,5,FALSE)*VLOOKUP($C$13,$B$4:$H$8,4,)</f>
        <v>52631.524356866117</v>
      </c>
    </row>
  </sheetData>
  <dataValidations count="2">
    <dataValidation type="list" allowBlank="1" showInputMessage="1" showErrorMessage="1" sqref="C13" xr:uid="{7AE632A1-76DC-41BC-A0E7-F4BF18B8B221}">
      <formula1>$B$4:$B$8</formula1>
    </dataValidation>
    <dataValidation allowBlank="1" showInputMessage="1" showErrorMessage="1" error="Selecionar um FII" sqref="C17" xr:uid="{E6871AC2-96FD-46EE-BD0B-88002181425D}"/>
  </dataValidation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Fumes De Miranda</dc:creator>
  <cp:lastModifiedBy>Luiz Henrique Fumes De Miranda</cp:lastModifiedBy>
  <dcterms:created xsi:type="dcterms:W3CDTF">2026-06-23T12:44:46Z</dcterms:created>
  <dcterms:modified xsi:type="dcterms:W3CDTF">2026-06-23T13:52:02Z</dcterms:modified>
</cp:coreProperties>
</file>